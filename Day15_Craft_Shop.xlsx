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summary" sheetId="2" r:id="rId6"/>
    <sheet state="visible" name="Pivot city" sheetId="3" r:id="rId7"/>
    <sheet state="visible" name="Pivot Month" sheetId="4" r:id="rId8"/>
    <sheet state="visible" name="Pivot product" sheetId="5" r:id="rId9"/>
    <sheet state="visible" name="Dashboard" sheetId="6" r:id="rId10"/>
  </sheets>
  <definedNames/>
  <calcPr/>
  <pivotCaches>
    <pivotCache cacheId="0" r:id="rId11"/>
  </pivotCaches>
</workbook>
</file>

<file path=xl/sharedStrings.xml><?xml version="1.0" encoding="utf-8"?>
<sst xmlns="http://schemas.openxmlformats.org/spreadsheetml/2006/main" count="91" uniqueCount="30">
  <si>
    <t>Key number</t>
  </si>
  <si>
    <t>Number of orders</t>
  </si>
  <si>
    <t>Total units sold</t>
  </si>
  <si>
    <t>Total sales (Rs)</t>
  </si>
  <si>
    <t>Average order value (Rs)</t>
  </si>
  <si>
    <t>Highest order (Rs)</t>
  </si>
  <si>
    <t>Lowest order (Rs)</t>
  </si>
  <si>
    <t>Month</t>
  </si>
  <si>
    <t>City</t>
  </si>
  <si>
    <t>Sales in Jul</t>
  </si>
  <si>
    <t>SUM of total</t>
  </si>
  <si>
    <t>Aug</t>
  </si>
  <si>
    <t>Islamabad</t>
  </si>
  <si>
    <t>Jul</t>
  </si>
  <si>
    <t>Sep</t>
  </si>
  <si>
    <t>Grand Total</t>
  </si>
  <si>
    <t>OrderID</t>
  </si>
  <si>
    <t>Karachi</t>
  </si>
  <si>
    <t>Lahore</t>
  </si>
  <si>
    <t>Sales in Aug</t>
  </si>
  <si>
    <t>Multan</t>
  </si>
  <si>
    <t>Sales in Sep</t>
  </si>
  <si>
    <t>Product</t>
  </si>
  <si>
    <t>Quantity</t>
  </si>
  <si>
    <t>UnitPrice</t>
  </si>
  <si>
    <t>total</t>
  </si>
  <si>
    <t>Embroidered Shawl</t>
  </si>
  <si>
    <t>Blue Pottery Vase</t>
  </si>
  <si>
    <t>Handmade Bag</t>
  </si>
  <si>
    <t>Khussa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</si>
</sst>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Font="1"/>
    <xf borderId="0" fillId="0" fontId="2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city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'Pivot city'!$B$1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'Pivot city'!$A$2:$A$5</c:f>
            </c:strRef>
          </c:cat>
          <c:val>
            <c:numRef>
              <c:f>'Pivot city'!$B$2:$B$5</c:f>
              <c:numCache/>
            </c:numRef>
          </c:val>
        </c:ser>
        <c:axId val="1612169445"/>
        <c:axId val="1221948591"/>
      </c:barChart>
      <c:catAx>
        <c:axId val="16121694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1948591"/>
      </c:catAx>
      <c:valAx>
        <c:axId val="12219485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21694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product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'Pivot product'!$B$1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product'!$A$2:$A$5</c:f>
            </c:strRef>
          </c:cat>
          <c:val>
            <c:numRef>
              <c:f>'Pivot product'!$B$2:$B$5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Sals by Month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'Pivot Month'!$B$1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'Pivot Month'!$A$2:$A$4</c:f>
            </c:strRef>
          </c:cat>
          <c:val>
            <c:numRef>
              <c:f>'Pivot Month'!$B$2:$B$4</c:f>
              <c:numCache/>
            </c:numRef>
          </c:val>
        </c:ser>
        <c:axId val="2127608760"/>
        <c:axId val="959510410"/>
      </c:barChart>
      <c:catAx>
        <c:axId val="212760876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9510410"/>
      </c:catAx>
      <c:valAx>
        <c:axId val="95951041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760876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57150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9525</xdr:colOff>
      <xdr:row>0</xdr:row>
      <xdr:rowOff>57150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933450</xdr:colOff>
      <xdr:row>0</xdr:row>
      <xdr:rowOff>57150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19" sheet="Data"/>
  </cacheSource>
  <cacheFields>
    <cacheField name="Order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</sharedItems>
    </cacheField>
    <cacheField name="Month" numFmtId="0">
      <sharedItems>
        <s v="Jul"/>
        <s v="Aug"/>
        <s v="Sep"/>
      </sharedItems>
    </cacheField>
    <cacheField name="City" numFmtId="0">
      <sharedItems>
        <s v="Lahore"/>
        <s v="Multan"/>
        <s v="Karachi"/>
        <s v="Islamabad"/>
      </sharedItems>
    </cacheField>
    <cacheField name="Product" numFmtId="0">
      <sharedItems>
        <s v="Embroidered Shawl"/>
        <s v="Blue Pottery Vase"/>
        <s v="Handmade Bag"/>
        <s v="Khussa"/>
      </sharedItems>
    </cacheField>
    <cacheField name="Quantity" numFmtId="0">
      <sharedItems containsSemiMixedTypes="0" containsString="0" containsNumber="1" containsInteger="1">
        <n v="1.0"/>
        <n v="2.0"/>
        <n v="3.0"/>
        <n v="4.0"/>
        <n v="6.0"/>
        <n v="5.0"/>
      </sharedItems>
    </cacheField>
    <cacheField name="UnitPrice" numFmtId="0">
      <sharedItems containsSemiMixedTypes="0" containsString="0" containsNumber="1" containsInteger="1">
        <n v="3500.0"/>
        <n v="3400.0"/>
        <n v="1900.0"/>
        <n v="4400.0"/>
        <n v="4500.0"/>
        <n v="3200.0"/>
        <n v="4300.0"/>
        <n v="2300.0"/>
        <n v="1200.0"/>
        <n v="2500.0"/>
        <n v="1500.0"/>
        <n v="4900.0"/>
      </sharedItems>
    </cacheField>
    <cacheField name="total" numFmtId="0">
      <sharedItems containsSemiMixedTypes="0" containsString="0" containsNumber="1" containsInteger="1">
        <n v="3500.0"/>
        <n v="3400.0"/>
        <n v="3800.0"/>
        <n v="6800.0"/>
        <n v="13200.0"/>
        <n v="13500.0"/>
        <n v="12800.0"/>
        <n v="25800.0"/>
        <n v="21500.0"/>
        <n v="4600.0"/>
        <n v="1200.0"/>
        <n v="6900.0"/>
        <n v="5000.0"/>
        <n v="1500.0"/>
        <n v="1960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city" cacheId="0" dataCaption="" compact="0" compactData="0">
  <location ref="A1:B6" firstHeaderRow="0" firstDataRow="1" firstDataCol="0"/>
  <pivotFields>
    <pivotField name="Ord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Month" compact="0" outline="0" multipleItemSelectionAllowed="1" showAll="0">
      <items>
        <item x="0"/>
        <item x="1"/>
        <item x="2"/>
        <item t="default"/>
      </items>
    </pivotField>
    <pivotField name="City" axis="axisRow" compact="0" outline="0" multipleItemSelectionAllowed="1" showAll="0" sortType="ascending">
      <items>
        <item x="3"/>
        <item x="2"/>
        <item x="0"/>
        <item x="1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Unit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>
    <field x="2"/>
  </rowFields>
  <dataFields>
    <dataField name="SUM of total" fld="6" baseField="0"/>
  </dataFields>
</pivotTableDefinition>
</file>

<file path=xl/pivotTables/pivotTable2.xml><?xml version="1.0" encoding="utf-8"?>
<pivotTableDefinition xmlns="http://schemas.openxmlformats.org/spreadsheetml/2006/main" name="Pivot Month" cacheId="0" dataCaption="" compact="0" compactData="0">
  <location ref="A1:B5" firstHeaderRow="0" firstDataRow="1" firstDataCol="0"/>
  <pivotFields>
    <pivotField name="Ord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Month" axis="axisRow" compact="0" outline="0" multipleItemSelectionAllowed="1" showAll="0" sortType="ascending">
      <items>
        <item x="1"/>
        <item x="0"/>
        <item x="2"/>
        <item t="default"/>
      </items>
    </pivotField>
    <pivotField name="City" compact="0" outline="0" multipleItemSelectionAllowed="1" showAll="0">
      <items>
        <item x="0"/>
        <item x="1"/>
        <item x="2"/>
        <item x="3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Unit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>
    <field x="1"/>
  </rowFields>
  <dataFields>
    <dataField name="SUM of total" fld="6" baseField="0"/>
  </dataFields>
</pivotTableDefinition>
</file>

<file path=xl/pivotTables/pivotTable3.xml><?xml version="1.0" encoding="utf-8"?>
<pivotTableDefinition xmlns="http://schemas.openxmlformats.org/spreadsheetml/2006/main" name="Pivot product" cacheId="0" dataCaption="" compact="0" compactData="0">
  <location ref="A1:B6" firstHeaderRow="0" firstDataRow="1" firstDataCol="0"/>
  <pivotFields>
    <pivotField name="Ord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Month" compact="0" outline="0" multipleItemSelectionAllowed="1" showAll="0">
      <items>
        <item x="0"/>
        <item x="1"/>
        <item x="2"/>
        <item t="default"/>
      </items>
    </pivotField>
    <pivotField name="City" compact="0" outline="0" multipleItemSelectionAllowed="1" showAll="0">
      <items>
        <item x="0"/>
        <item x="1"/>
        <item x="2"/>
        <item x="3"/>
        <item t="default"/>
      </items>
    </pivotField>
    <pivotField name="Product" axis="axisRow" compact="0" outline="0" multipleItemSelectionAllowed="1" showAll="0" sortType="ascending">
      <items>
        <item x="1"/>
        <item x="0"/>
        <item x="2"/>
        <item x="3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Unit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>
    <field x="3"/>
  </rowFields>
  <dataFields>
    <dataField name="SUM of total" fld="6" baseField="0"/>
  </dataFields>
</pivotTableDefinition>
</file>

<file path=xl/tables/table1.xml><?xml version="1.0" encoding="utf-8"?>
<table xmlns="http://schemas.openxmlformats.org/spreadsheetml/2006/main" ref="A1:G19" displayName="Table1" name="Table1" id="1">
  <tableColumns count="7">
    <tableColumn name="OrderID" id="1"/>
    <tableColumn name="Month" id="2"/>
    <tableColumn name="City" id="3"/>
    <tableColumn name="Product" id="4"/>
    <tableColumn name="Quantity" id="5"/>
    <tableColumn name="UnitPrice" id="6"/>
    <tableColumn name="total" id="7"/>
  </tableColumns>
  <tableStyleInfo name="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13.63"/>
    <col customWidth="1" min="4" max="4" width="20.25"/>
    <col customWidth="1" min="5" max="5" width="15.13"/>
    <col customWidth="1" min="6" max="6" width="15.63"/>
  </cols>
  <sheetData>
    <row r="1" ht="22.5" customHeight="1">
      <c r="A1" s="4" t="s">
        <v>16</v>
      </c>
      <c r="B1" s="5" t="s">
        <v>7</v>
      </c>
      <c r="C1" s="5" t="s">
        <v>8</v>
      </c>
      <c r="D1" s="5" t="s">
        <v>22</v>
      </c>
      <c r="E1" s="6" t="s">
        <v>23</v>
      </c>
      <c r="F1" s="5" t="s">
        <v>24</v>
      </c>
      <c r="G1" s="6" t="s">
        <v>25</v>
      </c>
    </row>
    <row r="2" ht="22.5" customHeight="1">
      <c r="A2" s="7">
        <v>1.0</v>
      </c>
      <c r="B2" s="8" t="s">
        <v>13</v>
      </c>
      <c r="C2" s="9" t="s">
        <v>18</v>
      </c>
      <c r="D2" s="8" t="s">
        <v>26</v>
      </c>
      <c r="E2" s="7">
        <v>1.0</v>
      </c>
      <c r="F2" s="7">
        <v>3500.0</v>
      </c>
      <c r="G2" s="10">
        <f>E2*F2</f>
        <v>3500</v>
      </c>
    </row>
    <row r="3" ht="22.5" customHeight="1">
      <c r="A3" s="7">
        <v>2.0</v>
      </c>
      <c r="B3" s="8" t="s">
        <v>13</v>
      </c>
      <c r="C3" s="9" t="s">
        <v>20</v>
      </c>
      <c r="D3" s="8" t="s">
        <v>27</v>
      </c>
      <c r="E3" s="7">
        <v>1.0</v>
      </c>
      <c r="F3" s="7">
        <v>3400.0</v>
      </c>
      <c r="G3" s="7">
        <v>3400.0</v>
      </c>
    </row>
    <row r="4" ht="22.5" customHeight="1">
      <c r="A4" s="7">
        <v>3.0</v>
      </c>
      <c r="B4" s="8" t="s">
        <v>13</v>
      </c>
      <c r="C4" s="9" t="s">
        <v>17</v>
      </c>
      <c r="D4" s="8" t="s">
        <v>28</v>
      </c>
      <c r="E4" s="7">
        <v>2.0</v>
      </c>
      <c r="F4" s="7">
        <v>1900.0</v>
      </c>
      <c r="G4" s="10">
        <f t="shared" ref="G4:G19" si="1">E4*F4</f>
        <v>3800</v>
      </c>
    </row>
    <row r="5" ht="22.5" customHeight="1">
      <c r="A5" s="7">
        <v>4.0</v>
      </c>
      <c r="B5" s="8" t="s">
        <v>13</v>
      </c>
      <c r="C5" s="9" t="s">
        <v>12</v>
      </c>
      <c r="D5" s="8" t="s">
        <v>29</v>
      </c>
      <c r="E5" s="7">
        <v>2.0</v>
      </c>
      <c r="F5" s="7">
        <v>3400.0</v>
      </c>
      <c r="G5" s="10">
        <f t="shared" si="1"/>
        <v>6800</v>
      </c>
    </row>
    <row r="6" ht="22.5" customHeight="1">
      <c r="A6" s="7">
        <v>5.0</v>
      </c>
      <c r="B6" s="8" t="s">
        <v>13</v>
      </c>
      <c r="C6" s="9" t="s">
        <v>18</v>
      </c>
      <c r="D6" s="8" t="s">
        <v>28</v>
      </c>
      <c r="E6" s="7">
        <v>3.0</v>
      </c>
      <c r="F6" s="7">
        <v>4400.0</v>
      </c>
      <c r="G6" s="10">
        <f t="shared" si="1"/>
        <v>13200</v>
      </c>
    </row>
    <row r="7" ht="22.5" customHeight="1">
      <c r="A7" s="7">
        <v>6.0</v>
      </c>
      <c r="B7" s="8" t="s">
        <v>11</v>
      </c>
      <c r="C7" s="9" t="s">
        <v>20</v>
      </c>
      <c r="D7" s="8" t="s">
        <v>26</v>
      </c>
      <c r="E7" s="7">
        <v>3.0</v>
      </c>
      <c r="F7" s="7">
        <v>4500.0</v>
      </c>
      <c r="G7" s="10">
        <f t="shared" si="1"/>
        <v>13500</v>
      </c>
    </row>
    <row r="8" ht="22.5" customHeight="1">
      <c r="A8" s="7">
        <v>7.0</v>
      </c>
      <c r="B8" s="8" t="s">
        <v>11</v>
      </c>
      <c r="C8" s="9" t="s">
        <v>18</v>
      </c>
      <c r="D8" s="8" t="s">
        <v>27</v>
      </c>
      <c r="E8" s="7">
        <v>4.0</v>
      </c>
      <c r="F8" s="7">
        <v>3200.0</v>
      </c>
      <c r="G8" s="10">
        <f t="shared" si="1"/>
        <v>12800</v>
      </c>
    </row>
    <row r="9" ht="22.5" customHeight="1">
      <c r="A9" s="7">
        <v>8.0</v>
      </c>
      <c r="B9" s="8" t="s">
        <v>11</v>
      </c>
      <c r="C9" s="9" t="s">
        <v>17</v>
      </c>
      <c r="D9" s="8" t="s">
        <v>26</v>
      </c>
      <c r="E9" s="7">
        <v>6.0</v>
      </c>
      <c r="F9" s="7">
        <v>4300.0</v>
      </c>
      <c r="G9" s="10">
        <f t="shared" si="1"/>
        <v>25800</v>
      </c>
    </row>
    <row r="10" ht="22.5" customHeight="1">
      <c r="A10" s="7">
        <v>9.0</v>
      </c>
      <c r="B10" s="8" t="s">
        <v>11</v>
      </c>
      <c r="C10" s="11" t="s">
        <v>20</v>
      </c>
      <c r="D10" s="8" t="s">
        <v>29</v>
      </c>
      <c r="E10" s="7">
        <v>5.0</v>
      </c>
      <c r="F10" s="7">
        <v>4300.0</v>
      </c>
      <c r="G10" s="10">
        <f t="shared" si="1"/>
        <v>21500</v>
      </c>
    </row>
    <row r="11" ht="22.5" customHeight="1">
      <c r="A11" s="7">
        <v>10.0</v>
      </c>
      <c r="B11" s="8" t="s">
        <v>11</v>
      </c>
      <c r="C11" s="9" t="s">
        <v>12</v>
      </c>
      <c r="D11" s="8" t="s">
        <v>28</v>
      </c>
      <c r="E11" s="7">
        <v>2.0</v>
      </c>
      <c r="F11" s="7">
        <v>2300.0</v>
      </c>
      <c r="G11" s="10">
        <f t="shared" si="1"/>
        <v>4600</v>
      </c>
    </row>
    <row r="12" ht="22.5" customHeight="1">
      <c r="A12" s="7">
        <v>11.0</v>
      </c>
      <c r="B12" s="8" t="s">
        <v>11</v>
      </c>
      <c r="C12" s="9" t="s">
        <v>18</v>
      </c>
      <c r="D12" s="8" t="s">
        <v>29</v>
      </c>
      <c r="E12" s="7">
        <v>1.0</v>
      </c>
      <c r="F12" s="7">
        <v>1200.0</v>
      </c>
      <c r="G12" s="10">
        <f t="shared" si="1"/>
        <v>1200</v>
      </c>
    </row>
    <row r="13" ht="22.5" customHeight="1">
      <c r="A13" s="7">
        <v>12.0</v>
      </c>
      <c r="B13" s="8" t="s">
        <v>14</v>
      </c>
      <c r="C13" s="9" t="s">
        <v>17</v>
      </c>
      <c r="D13" s="8" t="s">
        <v>27</v>
      </c>
      <c r="E13" s="7">
        <v>3.0</v>
      </c>
      <c r="F13" s="7">
        <v>2300.0</v>
      </c>
      <c r="G13" s="10">
        <f t="shared" si="1"/>
        <v>6900</v>
      </c>
    </row>
    <row r="14" ht="22.5" customHeight="1">
      <c r="A14" s="7">
        <v>13.0</v>
      </c>
      <c r="B14" s="8" t="s">
        <v>14</v>
      </c>
      <c r="C14" s="9" t="s">
        <v>20</v>
      </c>
      <c r="D14" s="8" t="s">
        <v>26</v>
      </c>
      <c r="E14" s="7">
        <v>1.0</v>
      </c>
      <c r="F14" s="7">
        <v>1200.0</v>
      </c>
      <c r="G14" s="10">
        <f t="shared" si="1"/>
        <v>1200</v>
      </c>
    </row>
    <row r="15" ht="22.5" customHeight="1">
      <c r="A15" s="7">
        <v>14.0</v>
      </c>
      <c r="B15" s="8" t="s">
        <v>14</v>
      </c>
      <c r="C15" s="9" t="s">
        <v>18</v>
      </c>
      <c r="D15" s="8" t="s">
        <v>28</v>
      </c>
      <c r="E15" s="7">
        <v>2.0</v>
      </c>
      <c r="F15" s="7">
        <v>2500.0</v>
      </c>
      <c r="G15" s="10">
        <f t="shared" si="1"/>
        <v>5000</v>
      </c>
    </row>
    <row r="16" ht="22.5" customHeight="1">
      <c r="A16" s="7">
        <v>15.0</v>
      </c>
      <c r="B16" s="8" t="s">
        <v>14</v>
      </c>
      <c r="C16" s="9" t="s">
        <v>17</v>
      </c>
      <c r="D16" s="8" t="s">
        <v>29</v>
      </c>
      <c r="E16" s="7">
        <v>3.0</v>
      </c>
      <c r="F16" s="7">
        <v>4500.0</v>
      </c>
      <c r="G16" s="10">
        <f t="shared" si="1"/>
        <v>13500</v>
      </c>
    </row>
    <row r="17" ht="22.5" customHeight="1">
      <c r="A17" s="7">
        <v>16.0</v>
      </c>
      <c r="B17" s="8" t="s">
        <v>14</v>
      </c>
      <c r="C17" s="9" t="s">
        <v>12</v>
      </c>
      <c r="D17" s="8" t="s">
        <v>26</v>
      </c>
      <c r="E17" s="7">
        <v>2.0</v>
      </c>
      <c r="F17" s="7">
        <v>3400.0</v>
      </c>
      <c r="G17" s="10">
        <f t="shared" si="1"/>
        <v>6800</v>
      </c>
    </row>
    <row r="18" ht="22.5" customHeight="1">
      <c r="A18" s="7">
        <v>17.0</v>
      </c>
      <c r="B18" s="8" t="s">
        <v>14</v>
      </c>
      <c r="C18" s="9" t="s">
        <v>20</v>
      </c>
      <c r="D18" s="8" t="s">
        <v>28</v>
      </c>
      <c r="E18" s="7">
        <v>1.0</v>
      </c>
      <c r="F18" s="7">
        <v>1500.0</v>
      </c>
      <c r="G18" s="10">
        <f t="shared" si="1"/>
        <v>1500</v>
      </c>
    </row>
    <row r="19" ht="22.5" customHeight="1">
      <c r="A19" s="7">
        <v>18.0</v>
      </c>
      <c r="B19" s="8" t="s">
        <v>14</v>
      </c>
      <c r="C19" s="9" t="s">
        <v>18</v>
      </c>
      <c r="D19" s="8" t="s">
        <v>27</v>
      </c>
      <c r="E19" s="7">
        <v>4.0</v>
      </c>
      <c r="F19" s="7">
        <v>4900.0</v>
      </c>
      <c r="G19" s="10">
        <f t="shared" si="1"/>
        <v>19600</v>
      </c>
    </row>
  </sheetData>
  <dataValidations>
    <dataValidation type="list" allowBlank="1" showDropDown="1" showErrorMessage="1" sqref="D2:D19">
      <formula1>"Embroidered Shawl,Blue Pottery Vase,Handmade Bag,Khussa"</formula1>
    </dataValidation>
    <dataValidation type="custom" allowBlank="1" showDropDown="1" sqref="A2:A19 E2:G19">
      <formula1>AND(ISNUMBER(A2),(NOT(OR(NOT(ISERROR(DATEVALUE(A2))), AND(ISNUMBER(A2), LEFT(CELL("format", A2))="D")))))</formula1>
    </dataValidation>
    <dataValidation type="list" allowBlank="1" showDropDown="1" showErrorMessage="1" sqref="B2:B19">
      <formula1>"Jul,Aug,sep"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1"/>
    </row>
    <row r="2">
      <c r="A2" s="1" t="s">
        <v>1</v>
      </c>
      <c r="C2" s="2">
        <f>COUNTA(Data!A2:A19)</f>
        <v>18</v>
      </c>
    </row>
    <row r="3">
      <c r="A3" s="1" t="s">
        <v>2</v>
      </c>
      <c r="C3" s="3">
        <f>SUM(Data!E2:E19)</f>
        <v>46</v>
      </c>
    </row>
    <row r="4">
      <c r="A4" s="1" t="s">
        <v>3</v>
      </c>
      <c r="C4" s="3">
        <f>SUM(Data!G2:G19)</f>
        <v>164600</v>
      </c>
    </row>
    <row r="5">
      <c r="A5" s="1" t="s">
        <v>4</v>
      </c>
      <c r="C5" s="3">
        <f>AVERAGE(Data!G2:G19)</f>
        <v>9144.444444</v>
      </c>
    </row>
    <row r="6">
      <c r="A6" s="1" t="s">
        <v>5</v>
      </c>
      <c r="C6" s="3">
        <f>MAX(Data!G2:G19)</f>
        <v>25800</v>
      </c>
    </row>
    <row r="7">
      <c r="A7" s="1" t="s">
        <v>6</v>
      </c>
      <c r="C7" s="3">
        <f>MIN(Data!G2:G19)</f>
        <v>1200</v>
      </c>
    </row>
    <row r="8">
      <c r="A8" s="1" t="s">
        <v>9</v>
      </c>
      <c r="C8" s="2">
        <f>SUMIF(Data!B2:B19,"Jul",Data!G2:G19)</f>
        <v>30700</v>
      </c>
    </row>
    <row r="9">
      <c r="A9" s="1" t="s">
        <v>19</v>
      </c>
      <c r="C9" s="2">
        <f>SUMIF(Data!B2:B19,"Aug",Data!G2:G19)</f>
        <v>79400</v>
      </c>
    </row>
    <row r="10">
      <c r="A10" s="1" t="s">
        <v>21</v>
      </c>
      <c r="C10" s="2">
        <f>SUMIF(Data!B2:B19,"Sep",Data!G2:G19)</f>
        <v>54500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5.13"/>
  </cols>
  <sheetData>
    <row r="1"/>
    <row r="2"/>
    <row r="3"/>
    <row r="4"/>
    <row r="5"/>
    <row r="6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